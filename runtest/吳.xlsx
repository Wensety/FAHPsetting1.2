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B\個別專家問卷\"/>
    </mc:Choice>
  </mc:AlternateContent>
  <xr:revisionPtr revIDLastSave="0" documentId="13_ncr:1_{B46765AF-5CA9-401C-B0B7-C8F7CB365C17}" xr6:coauthVersionLast="47" xr6:coauthVersionMax="47" xr10:uidLastSave="{00000000-0000-0000-0000-000000000000}"/>
  <bookViews>
    <workbookView xWindow="-90" yWindow="0" windowWidth="12980" windowHeight="13770" firstSheet="6" activeTab="7" xr2:uid="{00000000-000D-0000-FFFF-FFFF00000000}"/>
  </bookViews>
  <sheets>
    <sheet name="Criteria" sheetId="1" r:id="rId1"/>
    <sheet name="Indicators" sheetId="2" r:id="rId2"/>
    <sheet name="Comparisons" sheetId="3" r:id="rId3"/>
    <sheet name="Pairwise_環境品質與水資源" sheetId="4" r:id="rId4"/>
    <sheet name="Pairwise_生態保育" sheetId="5" r:id="rId5"/>
    <sheet name="Pairwise_減災與氣候調適" sheetId="6" r:id="rId6"/>
    <sheet name="Pairwise_社會共融與參與性" sheetId="7" r:id="rId7"/>
    <sheet name="Pairwise_經濟可行性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8" l="1"/>
  <c r="C5" i="8"/>
  <c r="C4" i="8"/>
  <c r="B5" i="8"/>
  <c r="B4" i="8"/>
  <c r="C2" i="8"/>
  <c r="E4" i="7"/>
  <c r="C5" i="7"/>
  <c r="C4" i="7"/>
  <c r="B5" i="7"/>
  <c r="B4" i="7"/>
  <c r="B3" i="7"/>
  <c r="E4" i="6"/>
  <c r="C4" i="6"/>
  <c r="E3" i="6"/>
  <c r="B4" i="6"/>
  <c r="B3" i="6"/>
  <c r="E2" i="6"/>
  <c r="D5" i="5"/>
  <c r="C5" i="5"/>
  <c r="C4" i="5"/>
  <c r="B5" i="5"/>
  <c r="B4" i="5"/>
  <c r="B3" i="5"/>
  <c r="E6" i="4"/>
  <c r="F4" i="4"/>
  <c r="E4" i="4"/>
  <c r="C4" i="4"/>
  <c r="F3" i="4"/>
  <c r="E3" i="4"/>
  <c r="B6" i="4"/>
  <c r="B5" i="4"/>
  <c r="B4" i="4"/>
  <c r="B3" i="4"/>
  <c r="F5" i="3"/>
  <c r="D5" i="3"/>
  <c r="F4" i="3"/>
  <c r="C5" i="3"/>
  <c r="F3" i="3"/>
  <c r="D3" i="3"/>
  <c r="B5" i="3"/>
  <c r="F2" i="3"/>
  <c r="D2" i="3"/>
  <c r="C2" i="3"/>
</calcChain>
</file>

<file path=xl/sharedStrings.xml><?xml version="1.0" encoding="utf-8"?>
<sst xmlns="http://schemas.openxmlformats.org/spreadsheetml/2006/main" count="116" uniqueCount="33">
  <si>
    <t>Order</t>
  </si>
  <si>
    <t>Criteria</t>
  </si>
  <si>
    <t>環境品質與水資源</t>
  </si>
  <si>
    <t>生態保育</t>
  </si>
  <si>
    <t>減災與氣候調適</t>
  </si>
  <si>
    <t>社會共融與參與性</t>
  </si>
  <si>
    <t>經濟可行性</t>
  </si>
  <si>
    <t>Criterion</t>
  </si>
  <si>
    <t>Indicator_Order</t>
  </si>
  <si>
    <t>Indicator</t>
  </si>
  <si>
    <t>雨水滯留再生系統</t>
  </si>
  <si>
    <t>降低空污與改善</t>
  </si>
  <si>
    <t>地表水質維護</t>
  </si>
  <si>
    <t>園區碳排控管調節</t>
  </si>
  <si>
    <t>綠色基礎設施建置</t>
  </si>
  <si>
    <t>提升物種多樣性</t>
  </si>
  <si>
    <t>植被覆蓋率</t>
  </si>
  <si>
    <t>生態廊道保護規劃</t>
  </si>
  <si>
    <t>保育稀有物種</t>
  </si>
  <si>
    <t>極端降雨洪災緩解</t>
  </si>
  <si>
    <t>熱島效應調節改善</t>
  </si>
  <si>
    <t>土地河岸侵蝕防制</t>
  </si>
  <si>
    <t>地勢水文規劃</t>
  </si>
  <si>
    <t>居民參與及治理</t>
  </si>
  <si>
    <t>社區凝聚力</t>
  </si>
  <si>
    <t>公共環境教育</t>
  </si>
  <si>
    <t>園區居民滿意度</t>
  </si>
  <si>
    <t>創造綠色產業鏈</t>
  </si>
  <si>
    <t>綠色產業投資誘因</t>
  </si>
  <si>
    <t>生態環境經濟效益</t>
  </si>
  <si>
    <t>綠色技術採用度</t>
  </si>
  <si>
    <t>Label</t>
  </si>
  <si>
    <t>優先度順序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</si>
</sst>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4.5" x14ac:dyDescent="0.3"/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 t="s">
        <v>2</v>
      </c>
      <c r="B2">
        <v>1</v>
      </c>
      <c r="C2" t="s">
        <v>10</v>
      </c>
    </row>
    <row r="3" spans="1:3" x14ac:dyDescent="0.3">
      <c r="A3" t="s">
        <v>2</v>
      </c>
      <c r="B3">
        <v>2</v>
      </c>
      <c r="C3" t="s">
        <v>11</v>
      </c>
    </row>
    <row r="4" spans="1:3" x14ac:dyDescent="0.3">
      <c r="A4" t="s">
        <v>2</v>
      </c>
      <c r="B4">
        <v>3</v>
      </c>
      <c r="C4" t="s">
        <v>12</v>
      </c>
    </row>
    <row r="5" spans="1:3" x14ac:dyDescent="0.3">
      <c r="A5" t="s">
        <v>2</v>
      </c>
      <c r="B5">
        <v>4</v>
      </c>
      <c r="C5" t="s">
        <v>13</v>
      </c>
    </row>
    <row r="6" spans="1:3" x14ac:dyDescent="0.3">
      <c r="A6" t="s">
        <v>2</v>
      </c>
      <c r="B6">
        <v>5</v>
      </c>
      <c r="C6" t="s">
        <v>14</v>
      </c>
    </row>
    <row r="7" spans="1:3" x14ac:dyDescent="0.3">
      <c r="A7" t="s">
        <v>3</v>
      </c>
      <c r="B7">
        <v>1</v>
      </c>
      <c r="C7" t="s">
        <v>15</v>
      </c>
    </row>
    <row r="8" spans="1:3" x14ac:dyDescent="0.3">
      <c r="A8" t="s">
        <v>3</v>
      </c>
      <c r="B8">
        <v>2</v>
      </c>
      <c r="C8" t="s">
        <v>16</v>
      </c>
    </row>
    <row r="9" spans="1:3" x14ac:dyDescent="0.3">
      <c r="A9" t="s">
        <v>3</v>
      </c>
      <c r="B9">
        <v>3</v>
      </c>
      <c r="C9" t="s">
        <v>17</v>
      </c>
    </row>
    <row r="10" spans="1:3" x14ac:dyDescent="0.3">
      <c r="A10" t="s">
        <v>3</v>
      </c>
      <c r="B10">
        <v>4</v>
      </c>
      <c r="C10" t="s">
        <v>18</v>
      </c>
    </row>
    <row r="11" spans="1:3" x14ac:dyDescent="0.3">
      <c r="A11" t="s">
        <v>4</v>
      </c>
      <c r="B11">
        <v>1</v>
      </c>
      <c r="C11" t="s">
        <v>19</v>
      </c>
    </row>
    <row r="12" spans="1:3" x14ac:dyDescent="0.3">
      <c r="A12" t="s">
        <v>4</v>
      </c>
      <c r="B12">
        <v>2</v>
      </c>
      <c r="C12" t="s">
        <v>20</v>
      </c>
    </row>
    <row r="13" spans="1:3" x14ac:dyDescent="0.3">
      <c r="A13" t="s">
        <v>4</v>
      </c>
      <c r="B13">
        <v>3</v>
      </c>
      <c r="C13" t="s">
        <v>21</v>
      </c>
    </row>
    <row r="14" spans="1:3" x14ac:dyDescent="0.3">
      <c r="A14" t="s">
        <v>4</v>
      </c>
      <c r="B14">
        <v>4</v>
      </c>
      <c r="C14" t="s">
        <v>22</v>
      </c>
    </row>
    <row r="15" spans="1:3" x14ac:dyDescent="0.3">
      <c r="A15" t="s">
        <v>5</v>
      </c>
      <c r="B15">
        <v>1</v>
      </c>
      <c r="C15" t="s">
        <v>23</v>
      </c>
    </row>
    <row r="16" spans="1:3" x14ac:dyDescent="0.3">
      <c r="A16" t="s">
        <v>5</v>
      </c>
      <c r="B16">
        <v>2</v>
      </c>
      <c r="C16" t="s">
        <v>24</v>
      </c>
    </row>
    <row r="17" spans="1:3" x14ac:dyDescent="0.3">
      <c r="A17" t="s">
        <v>5</v>
      </c>
      <c r="B17">
        <v>3</v>
      </c>
      <c r="C17" t="s">
        <v>25</v>
      </c>
    </row>
    <row r="18" spans="1:3" x14ac:dyDescent="0.3">
      <c r="A18" t="s">
        <v>5</v>
      </c>
      <c r="B18">
        <v>4</v>
      </c>
      <c r="C18" t="s">
        <v>26</v>
      </c>
    </row>
    <row r="19" spans="1:3" x14ac:dyDescent="0.3">
      <c r="A19" t="s">
        <v>6</v>
      </c>
      <c r="B19">
        <v>1</v>
      </c>
      <c r="C19" t="s">
        <v>27</v>
      </c>
    </row>
    <row r="20" spans="1:3" x14ac:dyDescent="0.3">
      <c r="A20" t="s">
        <v>6</v>
      </c>
      <c r="B20">
        <v>2</v>
      </c>
      <c r="C20" t="s">
        <v>28</v>
      </c>
    </row>
    <row r="21" spans="1:3" x14ac:dyDescent="0.3">
      <c r="A21" t="s">
        <v>6</v>
      </c>
      <c r="B21">
        <v>3</v>
      </c>
      <c r="C21" t="s">
        <v>29</v>
      </c>
    </row>
    <row r="22" spans="1:3" x14ac:dyDescent="0.3">
      <c r="A22" t="s">
        <v>6</v>
      </c>
      <c r="B22">
        <v>4</v>
      </c>
      <c r="C22" t="s">
        <v>30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E8" sqref="E8"/>
    </sheetView>
  </sheetViews>
  <sheetFormatPr defaultRowHeight="14.5" x14ac:dyDescent="0.3"/>
  <cols>
    <col min="1" max="2" width="20.69921875" bestFit="1" customWidth="1"/>
    <col min="3" max="3" width="10.69921875" bestFit="1" customWidth="1"/>
    <col min="4" max="4" width="18.19921875" bestFit="1" customWidth="1"/>
    <col min="5" max="5" width="20.69921875" bestFit="1" customWidth="1"/>
    <col min="6" max="6" width="13.19921875" bestFit="1" customWidth="1"/>
  </cols>
  <sheetData>
    <row r="1" spans="1:6" x14ac:dyDescent="0.3">
      <c r="A1" s="1" t="s">
        <v>31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s="1" t="s">
        <v>2</v>
      </c>
      <c r="B2">
        <v>1</v>
      </c>
      <c r="C2">
        <f>1/2</f>
        <v>0.5</v>
      </c>
      <c r="D2">
        <f>1/4</f>
        <v>0.25</v>
      </c>
      <c r="E2">
        <v>2</v>
      </c>
      <c r="F2">
        <f>1/5</f>
        <v>0.2</v>
      </c>
    </row>
    <row r="3" spans="1:6" x14ac:dyDescent="0.3">
      <c r="A3" s="1" t="s">
        <v>3</v>
      </c>
      <c r="B3">
        <v>2</v>
      </c>
      <c r="C3">
        <v>1</v>
      </c>
      <c r="D3">
        <f>1/3</f>
        <v>0.33333333333333331</v>
      </c>
      <c r="E3">
        <v>2</v>
      </c>
      <c r="F3">
        <f>1/4</f>
        <v>0.25</v>
      </c>
    </row>
    <row r="4" spans="1:6" x14ac:dyDescent="0.3">
      <c r="A4" s="1" t="s">
        <v>4</v>
      </c>
      <c r="B4">
        <v>4</v>
      </c>
      <c r="C4">
        <v>3</v>
      </c>
      <c r="D4">
        <v>1</v>
      </c>
      <c r="E4">
        <v>4</v>
      </c>
      <c r="F4">
        <f>1/2</f>
        <v>0.5</v>
      </c>
    </row>
    <row r="5" spans="1:6" x14ac:dyDescent="0.3">
      <c r="A5" s="1" t="s">
        <v>5</v>
      </c>
      <c r="B5">
        <f>1/2</f>
        <v>0.5</v>
      </c>
      <c r="C5">
        <f>1/2</f>
        <v>0.5</v>
      </c>
      <c r="D5">
        <f>1/4</f>
        <v>0.25</v>
      </c>
      <c r="E5">
        <v>1</v>
      </c>
      <c r="F5">
        <f>1/6</f>
        <v>0.16666666666666666</v>
      </c>
    </row>
    <row r="6" spans="1:6" x14ac:dyDescent="0.3">
      <c r="A6" s="1" t="s">
        <v>6</v>
      </c>
      <c r="B6">
        <v>5</v>
      </c>
      <c r="C6" s="2">
        <v>4</v>
      </c>
      <c r="D6">
        <v>2</v>
      </c>
      <c r="E6">
        <v>6</v>
      </c>
      <c r="F6">
        <v>1</v>
      </c>
    </row>
    <row r="7" spans="1:6" x14ac:dyDescent="0.3">
      <c r="A7" s="3" t="s">
        <v>32</v>
      </c>
      <c r="B7">
        <v>4</v>
      </c>
      <c r="C7" s="2">
        <v>3</v>
      </c>
      <c r="D7">
        <v>2</v>
      </c>
      <c r="E7">
        <v>5</v>
      </c>
      <c r="F7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E19" sqref="E19"/>
    </sheetView>
  </sheetViews>
  <sheetFormatPr defaultRowHeight="14.5" x14ac:dyDescent="0.3"/>
  <cols>
    <col min="1" max="2" width="20.69921875" bestFit="1" customWidth="1"/>
    <col min="3" max="3" width="18.19921875" bestFit="1" customWidth="1"/>
    <col min="4" max="4" width="15.69921875" bestFit="1" customWidth="1"/>
    <col min="5" max="6" width="20.69921875" bestFit="1" customWidth="1"/>
  </cols>
  <sheetData>
    <row r="1" spans="1:6" x14ac:dyDescent="0.3">
      <c r="A1" s="1" t="s">
        <v>31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s="1" t="s">
        <v>10</v>
      </c>
      <c r="B2">
        <v>1</v>
      </c>
      <c r="C2">
        <v>4</v>
      </c>
      <c r="D2">
        <v>5</v>
      </c>
      <c r="E2">
        <v>2</v>
      </c>
      <c r="F2">
        <v>3</v>
      </c>
    </row>
    <row r="3" spans="1:6" x14ac:dyDescent="0.3">
      <c r="A3" s="1" t="s">
        <v>11</v>
      </c>
      <c r="B3">
        <f>1/4</f>
        <v>0.25</v>
      </c>
      <c r="C3">
        <v>1</v>
      </c>
      <c r="D3">
        <v>2</v>
      </c>
      <c r="E3">
        <f>1/4</f>
        <v>0.25</v>
      </c>
      <c r="F3">
        <f>1/3</f>
        <v>0.33333333333333331</v>
      </c>
    </row>
    <row r="4" spans="1:6" x14ac:dyDescent="0.3">
      <c r="A4" s="1" t="s">
        <v>12</v>
      </c>
      <c r="B4">
        <f>1/5</f>
        <v>0.2</v>
      </c>
      <c r="C4">
        <f>1/2</f>
        <v>0.5</v>
      </c>
      <c r="D4">
        <v>1</v>
      </c>
      <c r="E4">
        <f>1/4</f>
        <v>0.25</v>
      </c>
      <c r="F4">
        <f>1/3</f>
        <v>0.33333333333333331</v>
      </c>
    </row>
    <row r="5" spans="1:6" x14ac:dyDescent="0.3">
      <c r="A5" s="1" t="s">
        <v>13</v>
      </c>
      <c r="B5">
        <f>1/2</f>
        <v>0.5</v>
      </c>
      <c r="C5">
        <v>4</v>
      </c>
      <c r="D5">
        <v>4</v>
      </c>
      <c r="E5">
        <v>1</v>
      </c>
      <c r="F5">
        <v>2</v>
      </c>
    </row>
    <row r="6" spans="1:6" x14ac:dyDescent="0.3">
      <c r="A6" s="1" t="s">
        <v>14</v>
      </c>
      <c r="B6">
        <f>1/3</f>
        <v>0.33333333333333331</v>
      </c>
      <c r="C6">
        <v>3</v>
      </c>
      <c r="D6">
        <v>3</v>
      </c>
      <c r="E6">
        <f>1/2</f>
        <v>0.5</v>
      </c>
      <c r="F6">
        <v>1</v>
      </c>
    </row>
    <row r="7" spans="1:6" x14ac:dyDescent="0.3">
      <c r="A7" s="3" t="s">
        <v>32</v>
      </c>
      <c r="B7">
        <v>1</v>
      </c>
      <c r="C7">
        <v>4</v>
      </c>
      <c r="D7">
        <v>5</v>
      </c>
      <c r="E7">
        <v>2</v>
      </c>
      <c r="F7">
        <v>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D6" sqref="D6"/>
    </sheetView>
  </sheetViews>
  <sheetFormatPr defaultRowHeight="14.5" x14ac:dyDescent="0.3"/>
  <cols>
    <col min="1" max="1" width="20.69921875" bestFit="1" customWidth="1"/>
    <col min="2" max="2" width="18.19921875" bestFit="1" customWidth="1"/>
    <col min="3" max="3" width="13.19921875" bestFit="1" customWidth="1"/>
    <col min="4" max="4" width="20.69921875" bestFit="1" customWidth="1"/>
    <col min="5" max="5" width="15.69921875" bestFit="1" customWidth="1"/>
  </cols>
  <sheetData>
    <row r="1" spans="1:5" x14ac:dyDescent="0.3">
      <c r="A1" s="1" t="s">
        <v>31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1" t="s">
        <v>15</v>
      </c>
      <c r="B2">
        <v>1</v>
      </c>
      <c r="C2">
        <v>2</v>
      </c>
      <c r="D2">
        <v>3</v>
      </c>
      <c r="E2">
        <v>4</v>
      </c>
    </row>
    <row r="3" spans="1:5" x14ac:dyDescent="0.3">
      <c r="A3" s="1" t="s">
        <v>16</v>
      </c>
      <c r="B3">
        <f>1/2</f>
        <v>0.5</v>
      </c>
      <c r="C3">
        <v>1</v>
      </c>
      <c r="D3">
        <v>2</v>
      </c>
      <c r="E3">
        <v>4</v>
      </c>
    </row>
    <row r="4" spans="1:5" x14ac:dyDescent="0.3">
      <c r="A4" s="1" t="s">
        <v>17</v>
      </c>
      <c r="B4">
        <f>1/3</f>
        <v>0.33333333333333331</v>
      </c>
      <c r="C4">
        <f>1/2</f>
        <v>0.5</v>
      </c>
      <c r="D4">
        <v>1</v>
      </c>
      <c r="E4">
        <v>2</v>
      </c>
    </row>
    <row r="5" spans="1:5" x14ac:dyDescent="0.3">
      <c r="A5" s="1" t="s">
        <v>18</v>
      </c>
      <c r="B5">
        <f>1/4</f>
        <v>0.25</v>
      </c>
      <c r="C5">
        <f>1/4</f>
        <v>0.25</v>
      </c>
      <c r="D5">
        <f>1/2</f>
        <v>0.5</v>
      </c>
      <c r="E5">
        <v>1</v>
      </c>
    </row>
    <row r="6" spans="1:5" x14ac:dyDescent="0.3">
      <c r="A6" s="3" t="s">
        <v>32</v>
      </c>
      <c r="B6">
        <v>1</v>
      </c>
      <c r="C6">
        <v>2</v>
      </c>
      <c r="D6">
        <v>3</v>
      </c>
      <c r="E6">
        <v>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D7" sqref="D7"/>
    </sheetView>
  </sheetViews>
  <sheetFormatPr defaultRowHeight="14.5" x14ac:dyDescent="0.3"/>
  <cols>
    <col min="1" max="4" width="20.69921875" bestFit="1" customWidth="1"/>
    <col min="5" max="5" width="15.69921875" bestFit="1" customWidth="1"/>
  </cols>
  <sheetData>
    <row r="1" spans="1:5" x14ac:dyDescent="0.3">
      <c r="A1" s="1" t="s">
        <v>31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3">
      <c r="A2" s="1" t="s">
        <v>19</v>
      </c>
      <c r="B2">
        <v>1</v>
      </c>
      <c r="C2">
        <v>3</v>
      </c>
      <c r="D2">
        <v>5</v>
      </c>
      <c r="E2">
        <f>1/2</f>
        <v>0.5</v>
      </c>
    </row>
    <row r="3" spans="1:5" x14ac:dyDescent="0.3">
      <c r="A3" s="1" t="s">
        <v>20</v>
      </c>
      <c r="B3">
        <f>1/3</f>
        <v>0.33333333333333331</v>
      </c>
      <c r="C3">
        <v>1</v>
      </c>
      <c r="D3">
        <v>2</v>
      </c>
      <c r="E3">
        <f>1/4</f>
        <v>0.25</v>
      </c>
    </row>
    <row r="4" spans="1:5" x14ac:dyDescent="0.3">
      <c r="A4" s="1" t="s">
        <v>21</v>
      </c>
      <c r="B4">
        <f>1/5</f>
        <v>0.2</v>
      </c>
      <c r="C4">
        <f>1/2</f>
        <v>0.5</v>
      </c>
      <c r="D4">
        <v>1</v>
      </c>
      <c r="E4">
        <f>1/5</f>
        <v>0.2</v>
      </c>
    </row>
    <row r="5" spans="1:5" x14ac:dyDescent="0.3">
      <c r="A5" s="1" t="s">
        <v>22</v>
      </c>
      <c r="B5">
        <v>2</v>
      </c>
      <c r="C5">
        <v>4</v>
      </c>
      <c r="D5">
        <v>5</v>
      </c>
      <c r="E5">
        <v>1</v>
      </c>
    </row>
    <row r="6" spans="1:5" x14ac:dyDescent="0.3">
      <c r="A6" s="3" t="s">
        <v>32</v>
      </c>
      <c r="B6">
        <v>2</v>
      </c>
      <c r="C6">
        <v>3</v>
      </c>
      <c r="D6">
        <v>4</v>
      </c>
      <c r="E6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D7" sqref="D7"/>
    </sheetView>
  </sheetViews>
  <sheetFormatPr defaultRowHeight="14.5" x14ac:dyDescent="0.3"/>
  <cols>
    <col min="1" max="2" width="18.19921875" bestFit="1" customWidth="1"/>
    <col min="3" max="3" width="13.19921875" bestFit="1" customWidth="1"/>
    <col min="4" max="4" width="15.69921875" bestFit="1" customWidth="1"/>
    <col min="5" max="5" width="18.19921875" bestFit="1" customWidth="1"/>
  </cols>
  <sheetData>
    <row r="1" spans="1:5" x14ac:dyDescent="0.3">
      <c r="A1" s="1" t="s">
        <v>31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 s="1" t="s">
        <v>23</v>
      </c>
      <c r="B2">
        <v>1</v>
      </c>
      <c r="C2">
        <v>2</v>
      </c>
      <c r="D2">
        <v>4</v>
      </c>
      <c r="E2">
        <v>3</v>
      </c>
    </row>
    <row r="3" spans="1:5" x14ac:dyDescent="0.3">
      <c r="A3" s="1" t="s">
        <v>24</v>
      </c>
      <c r="B3">
        <f>1/2</f>
        <v>0.5</v>
      </c>
      <c r="C3">
        <v>1</v>
      </c>
      <c r="D3">
        <v>3</v>
      </c>
      <c r="E3">
        <v>2</v>
      </c>
    </row>
    <row r="4" spans="1:5" x14ac:dyDescent="0.3">
      <c r="A4" s="1" t="s">
        <v>25</v>
      </c>
      <c r="B4">
        <f>1/4</f>
        <v>0.25</v>
      </c>
      <c r="C4">
        <f>1/3</f>
        <v>0.33333333333333331</v>
      </c>
      <c r="D4">
        <v>1</v>
      </c>
      <c r="E4">
        <f>1/2</f>
        <v>0.5</v>
      </c>
    </row>
    <row r="5" spans="1:5" x14ac:dyDescent="0.3">
      <c r="A5" s="1" t="s">
        <v>26</v>
      </c>
      <c r="B5">
        <f>1/3</f>
        <v>0.33333333333333331</v>
      </c>
      <c r="C5">
        <f>1/2</f>
        <v>0.5</v>
      </c>
      <c r="D5">
        <v>2</v>
      </c>
      <c r="E5">
        <v>1</v>
      </c>
    </row>
    <row r="6" spans="1:5" x14ac:dyDescent="0.3">
      <c r="A6" s="3" t="s">
        <v>32</v>
      </c>
      <c r="B6">
        <v>1</v>
      </c>
      <c r="C6">
        <v>2</v>
      </c>
      <c r="D6">
        <v>4</v>
      </c>
      <c r="E6">
        <v>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tabSelected="1" workbookViewId="0">
      <selection activeCell="D7" sqref="D7"/>
    </sheetView>
  </sheetViews>
  <sheetFormatPr defaultRowHeight="14.5" x14ac:dyDescent="0.3"/>
  <cols>
    <col min="1" max="1" width="20.69921875" bestFit="1" customWidth="1"/>
    <col min="2" max="2" width="18.19921875" bestFit="1" customWidth="1"/>
    <col min="3" max="4" width="20.69921875" bestFit="1" customWidth="1"/>
    <col min="5" max="5" width="18.19921875" bestFit="1" customWidth="1"/>
  </cols>
  <sheetData>
    <row r="1" spans="1:5" x14ac:dyDescent="0.3">
      <c r="A1" s="1" t="s">
        <v>31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 s="1" t="s">
        <v>27</v>
      </c>
      <c r="B2">
        <v>1</v>
      </c>
      <c r="C2">
        <f>1/2</f>
        <v>0.5</v>
      </c>
      <c r="D2">
        <v>3</v>
      </c>
      <c r="E2">
        <v>2</v>
      </c>
    </row>
    <row r="3" spans="1:5" x14ac:dyDescent="0.3">
      <c r="A3" s="1" t="s">
        <v>28</v>
      </c>
      <c r="B3">
        <v>2</v>
      </c>
      <c r="C3">
        <v>1</v>
      </c>
      <c r="D3">
        <v>4</v>
      </c>
      <c r="E3">
        <v>3</v>
      </c>
    </row>
    <row r="4" spans="1:5" x14ac:dyDescent="0.3">
      <c r="A4" s="1" t="s">
        <v>29</v>
      </c>
      <c r="B4">
        <f>1/3</f>
        <v>0.33333333333333331</v>
      </c>
      <c r="C4">
        <f>1/4</f>
        <v>0.25</v>
      </c>
      <c r="D4">
        <v>1</v>
      </c>
      <c r="E4">
        <f>1/2</f>
        <v>0.5</v>
      </c>
    </row>
    <row r="5" spans="1:5" x14ac:dyDescent="0.3">
      <c r="A5" s="1" t="s">
        <v>30</v>
      </c>
      <c r="B5">
        <f>1/2</f>
        <v>0.5</v>
      </c>
      <c r="C5">
        <f>1/3</f>
        <v>0.33333333333333331</v>
      </c>
      <c r="D5">
        <v>2</v>
      </c>
      <c r="E5">
        <v>1</v>
      </c>
    </row>
    <row r="6" spans="1:5" x14ac:dyDescent="0.3">
      <c r="A6" s="3" t="s">
        <v>32</v>
      </c>
      <c r="B6">
        <v>2</v>
      </c>
      <c r="C6">
        <v>1</v>
      </c>
      <c r="D6">
        <v>4</v>
      </c>
      <c r="E6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Criteria</vt:lpstr>
      <vt:lpstr>Indicators</vt:lpstr>
      <vt:lpstr>Comparisons</vt:lpstr>
      <vt:lpstr>Pairwise_環境品質與水資源</vt:lpstr>
      <vt:lpstr>Pairwise_生態保育</vt:lpstr>
      <vt:lpstr>Pairwise_減災與氣候調適</vt:lpstr>
      <vt:lpstr>Pairwise_社會共融與參與性</vt:lpstr>
      <vt:lpstr>Pairwise_經濟可行性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CC123 THe</cp:lastModifiedBy>
  <dcterms:created xsi:type="dcterms:W3CDTF">2025-11-07T09:06:46Z</dcterms:created>
  <dcterms:modified xsi:type="dcterms:W3CDTF">2025-11-17T18:35:56Z</dcterms:modified>
</cp:coreProperties>
</file>